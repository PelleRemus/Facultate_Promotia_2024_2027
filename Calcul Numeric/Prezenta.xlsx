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Facultate_Promotia_2024_2027\Calcul Numeric\"/>
    </mc:Choice>
  </mc:AlternateContent>
  <xr:revisionPtr revIDLastSave="0" documentId="13_ncr:1_{49FD6F9D-D3D7-4818-B965-A4FCD49269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6" i="1" l="1"/>
  <c r="R66" i="1"/>
  <c r="Q65" i="1"/>
  <c r="R65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3" i="1"/>
  <c r="Q49" i="1"/>
  <c r="Q33" i="1"/>
  <c r="Q16" i="1"/>
  <c r="Q9" i="1"/>
  <c r="Q54" i="1"/>
  <c r="Q53" i="1"/>
  <c r="Q34" i="1"/>
  <c r="Q4" i="1"/>
  <c r="Q5" i="1"/>
  <c r="Q6" i="1"/>
  <c r="Q7" i="1"/>
  <c r="Q8" i="1"/>
  <c r="Q10" i="1"/>
  <c r="Q11" i="1"/>
  <c r="Q12" i="1"/>
  <c r="Q13" i="1"/>
  <c r="Q14" i="1"/>
  <c r="Q15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0" i="1"/>
  <c r="Q51" i="1"/>
  <c r="Q52" i="1"/>
  <c r="Q55" i="1"/>
  <c r="Q56" i="1"/>
  <c r="Q57" i="1"/>
  <c r="Q58" i="1"/>
  <c r="Q59" i="1"/>
  <c r="Q60" i="1"/>
  <c r="Q61" i="1"/>
  <c r="Q62" i="1"/>
  <c r="Q63" i="1"/>
  <c r="Q64" i="1"/>
  <c r="Q3" i="1"/>
</calcChain>
</file>

<file path=xl/sharedStrings.xml><?xml version="1.0" encoding="utf-8"?>
<sst xmlns="http://schemas.openxmlformats.org/spreadsheetml/2006/main" count="81" uniqueCount="81">
  <si>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</si>
  <si>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</si>
  <si>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</si>
  <si>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</si>
  <si>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</si>
  <si>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</si>
  <si>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</si>
  <si>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</si>
  <si>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</si>
  <si>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</si>
  <si>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</si>
  <si>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</si>
  <si>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</si>
  <si>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</si>
  <si>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</si>
  <si>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</si>
  <si>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</si>
  <si>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Tabita Alb</t>
  </si>
  <si>
    <t>Antonina Clipca</t>
  </si>
  <si>
    <t>Mirela Cristutiu</t>
  </si>
  <si>
    <t>Simona-Rahela Costean</t>
  </si>
  <si>
    <t>Adrian Stefan Basceanu</t>
  </si>
  <si>
    <t>Darius Florian Ciora</t>
  </si>
  <si>
    <t>Remiel-Gavril Cicort</t>
  </si>
  <si>
    <t>Carmina Sacasti Tivadar</t>
  </si>
  <si>
    <t>Ramona Aurelia Roman</t>
  </si>
  <si>
    <t>Darius Felix Trifan</t>
  </si>
  <si>
    <t>Marius Vatra</t>
  </si>
  <si>
    <t>Denisa Suldac</t>
  </si>
  <si>
    <t>Yeremchuk Liudmyla</t>
  </si>
  <si>
    <t>Adelin Sandor</t>
  </si>
  <si>
    <t>David Furic</t>
  </si>
  <si>
    <t>Andrei Vuscan</t>
  </si>
  <si>
    <t>Cristian Seichei</t>
  </si>
  <si>
    <t>Lucas Faraus</t>
  </si>
  <si>
    <t>Patrick Lenghel</t>
  </si>
  <si>
    <t>Denis Zahari</t>
  </si>
  <si>
    <t>Razvan Mihut</t>
  </si>
  <si>
    <t>Alexandra Blaga</t>
  </si>
  <si>
    <t>Sebestyen Ovlachi</t>
  </si>
  <si>
    <t>Rafael Gug</t>
  </si>
  <si>
    <t>Oxana Danilenco</t>
  </si>
  <si>
    <t>Adelina Manole</t>
  </si>
  <si>
    <t>Erik Chiliment</t>
  </si>
  <si>
    <t>Paul Szilveszter</t>
  </si>
  <si>
    <t>Vlad Barnutiu</t>
  </si>
  <si>
    <t>Victoria Szegecs</t>
  </si>
  <si>
    <t>Andreea Ciucas</t>
  </si>
  <si>
    <t>Tibor Varga</t>
  </si>
  <si>
    <t>David Varga</t>
  </si>
  <si>
    <t>Darius Pantea</t>
  </si>
  <si>
    <t>Paul Derecichei</t>
  </si>
  <si>
    <t>Vanesa Marcu</t>
  </si>
  <si>
    <t>Zsolt Dudas</t>
  </si>
  <si>
    <t>Maria Butnaru</t>
  </si>
  <si>
    <t>Casian Stirbe</t>
  </si>
  <si>
    <t>Alexandru Gabriel Bene</t>
  </si>
  <si>
    <t>Mario Alexandru Hutu</t>
  </si>
  <si>
    <t>Iulian Cioara</t>
  </si>
  <si>
    <t>Nora Boros</t>
  </si>
  <si>
    <t>Anita Schmidt</t>
  </si>
  <si>
    <t>Emil Macarie</t>
  </si>
  <si>
    <t>Laurentiu Flonta</t>
  </si>
  <si>
    <t>Alex Pasca</t>
  </si>
  <si>
    <t>Denis Marian</t>
  </si>
  <si>
    <t>Diana Marinau</t>
  </si>
  <si>
    <t>Stefan Neagoe</t>
  </si>
  <si>
    <t>Andrei Dascal</t>
  </si>
  <si>
    <t>Dorin Bala</t>
  </si>
  <si>
    <t>Damaris Marian</t>
  </si>
  <si>
    <t>Anton Jula</t>
  </si>
  <si>
    <t>Vanesa Popovici</t>
  </si>
  <si>
    <t>Giulia David</t>
  </si>
  <si>
    <t>Sergiu Pojega</t>
  </si>
  <si>
    <t>Flavius Mocan</t>
  </si>
  <si>
    <t>Bogdan Madar</t>
  </si>
  <si>
    <t>Alexia Costin</t>
  </si>
  <si>
    <t>Sergiu Sofineti</t>
  </si>
  <si>
    <t>Razvan Magui</t>
  </si>
  <si>
    <t>Rafael Foica</t>
  </si>
  <si>
    <t>Teodora Borze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</si>
</sst>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5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6"/>
  <sheetViews>
    <sheetView tabSelected="1" zoomScale="145" zoomScaleNormal="145"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D69" sqref="D69"/>
    </sheetView>
  </sheetViews>
  <sheetFormatPr defaultRowHeight="15"/>
  <cols>
    <col min="1" max="1" width="2.85546875" style="2" customWidth="1"/>
    <col min="2" max="2" width="27.28515625" style="2" customWidth="1"/>
    <col min="3" max="16384" width="9.140625" style="2"/>
  </cols>
  <sheetData>
    <row r="2" spans="2:18">
      <c r="B2" s="1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6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5" t="s">
        <v>13</v>
      </c>
      <c r="P2" s="15" t="s">
        <v>14</v>
      </c>
      <c r="Q2" s="15" t="s">
        <v>15</v>
      </c>
      <c r="R2" s="15" t="s">
        <v>16</v>
      </c>
    </row>
    <row r="3" spans="2:18">
      <c r="B3" s="3" t="s">
        <v>30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4">
        <f t="shared" ref="Q3:Q34" si="0">COUNT(C3:P3)</f>
        <v>0</v>
      </c>
      <c r="R3" s="12" t="str">
        <f>IF(COUNT(C3:P3)&gt;0, MIN(5+(COUNTIF(C3:P3,"&gt;1")/2),10), "absent")</f>
        <v>absent</v>
      </c>
    </row>
    <row r="4" spans="2:18">
      <c r="B4" s="3" t="s">
        <v>42</v>
      </c>
      <c r="C4" s="7">
        <v>2</v>
      </c>
      <c r="D4" s="2">
        <v>1</v>
      </c>
      <c r="P4" s="8"/>
      <c r="Q4" s="7">
        <f t="shared" si="0"/>
        <v>2</v>
      </c>
      <c r="R4" s="13">
        <f t="shared" ref="R4:R64" si="1">IF(COUNT(C4:P4)&gt;0, MIN(5+(COUNTIF(C4:P4,"&gt;1")/2),10), "absent")</f>
        <v>5.5</v>
      </c>
    </row>
    <row r="5" spans="2:18">
      <c r="B5" s="3" t="s">
        <v>21</v>
      </c>
      <c r="C5" s="7">
        <v>2</v>
      </c>
      <c r="P5" s="8"/>
      <c r="Q5" s="7">
        <f t="shared" si="0"/>
        <v>1</v>
      </c>
      <c r="R5" s="13">
        <f t="shared" si="1"/>
        <v>5.5</v>
      </c>
    </row>
    <row r="6" spans="2:18">
      <c r="B6" s="3" t="s">
        <v>63</v>
      </c>
      <c r="C6" s="7">
        <v>2</v>
      </c>
      <c r="P6" s="8"/>
      <c r="Q6" s="7">
        <f t="shared" si="0"/>
        <v>1</v>
      </c>
      <c r="R6" s="13">
        <f t="shared" si="1"/>
        <v>5.5</v>
      </c>
    </row>
    <row r="7" spans="2:18">
      <c r="B7" s="3" t="s">
        <v>38</v>
      </c>
      <c r="C7" s="7">
        <v>2</v>
      </c>
      <c r="D7" s="2">
        <v>1</v>
      </c>
      <c r="P7" s="8"/>
      <c r="Q7" s="7">
        <f t="shared" si="0"/>
        <v>2</v>
      </c>
      <c r="R7" s="13">
        <f t="shared" si="1"/>
        <v>5.5</v>
      </c>
    </row>
    <row r="8" spans="2:18">
      <c r="B8" s="3" t="s">
        <v>56</v>
      </c>
      <c r="C8" s="7">
        <v>2</v>
      </c>
      <c r="P8" s="8"/>
      <c r="Q8" s="7">
        <f t="shared" si="0"/>
        <v>1</v>
      </c>
      <c r="R8" s="13">
        <f t="shared" si="1"/>
        <v>5.5</v>
      </c>
    </row>
    <row r="9" spans="2:18">
      <c r="B9" s="3" t="s">
        <v>76</v>
      </c>
      <c r="C9" s="7">
        <v>2</v>
      </c>
      <c r="P9" s="8"/>
      <c r="Q9" s="7">
        <f t="shared" si="0"/>
        <v>1</v>
      </c>
      <c r="R9" s="13">
        <f t="shared" si="1"/>
        <v>5.5</v>
      </c>
    </row>
    <row r="10" spans="2:18">
      <c r="B10" s="3" t="s">
        <v>47</v>
      </c>
      <c r="C10" s="7"/>
      <c r="P10" s="8"/>
      <c r="Q10" s="7">
        <f t="shared" si="0"/>
        <v>0</v>
      </c>
      <c r="R10" s="13" t="str">
        <f t="shared" si="1"/>
        <v>absent</v>
      </c>
    </row>
    <row r="11" spans="2:18">
      <c r="B11" s="3" t="s">
        <v>67</v>
      </c>
      <c r="C11" s="7"/>
      <c r="P11" s="8"/>
      <c r="Q11" s="7">
        <f t="shared" si="0"/>
        <v>0</v>
      </c>
      <c r="R11" s="13" t="str">
        <f t="shared" si="1"/>
        <v>absent</v>
      </c>
    </row>
    <row r="12" spans="2:18">
      <c r="B12" s="3" t="s">
        <v>32</v>
      </c>
      <c r="C12" s="7"/>
      <c r="P12" s="8"/>
      <c r="Q12" s="7">
        <f t="shared" si="0"/>
        <v>0</v>
      </c>
      <c r="R12" s="13" t="str">
        <f t="shared" si="1"/>
        <v>absent</v>
      </c>
    </row>
    <row r="13" spans="2:18">
      <c r="B13" s="3" t="s">
        <v>60</v>
      </c>
      <c r="C13" s="7">
        <v>2</v>
      </c>
      <c r="D13" s="2">
        <v>1</v>
      </c>
      <c r="P13" s="8"/>
      <c r="Q13" s="7">
        <f t="shared" si="0"/>
        <v>2</v>
      </c>
      <c r="R13" s="13">
        <f t="shared" si="1"/>
        <v>5.5</v>
      </c>
    </row>
    <row r="14" spans="2:18">
      <c r="B14" s="3" t="s">
        <v>70</v>
      </c>
      <c r="C14" s="7"/>
      <c r="D14" s="2">
        <v>1</v>
      </c>
      <c r="P14" s="8"/>
      <c r="Q14" s="7">
        <f t="shared" si="0"/>
        <v>1</v>
      </c>
      <c r="R14" s="13">
        <f t="shared" si="1"/>
        <v>5</v>
      </c>
    </row>
    <row r="15" spans="2:18">
      <c r="B15" s="3" t="s">
        <v>18</v>
      </c>
      <c r="C15" s="7"/>
      <c r="P15" s="8"/>
      <c r="Q15" s="7">
        <f t="shared" si="0"/>
        <v>0</v>
      </c>
      <c r="R15" s="13" t="str">
        <f t="shared" si="1"/>
        <v>absent</v>
      </c>
    </row>
    <row r="16" spans="2:18">
      <c r="B16" s="3" t="s">
        <v>75</v>
      </c>
      <c r="C16" s="7">
        <v>2</v>
      </c>
      <c r="P16" s="8"/>
      <c r="Q16" s="7">
        <f t="shared" si="0"/>
        <v>1</v>
      </c>
      <c r="R16" s="13">
        <f t="shared" si="1"/>
        <v>5.5</v>
      </c>
    </row>
    <row r="17" spans="2:18">
      <c r="B17" s="3" t="s">
        <v>24</v>
      </c>
      <c r="C17" s="7">
        <v>2</v>
      </c>
      <c r="D17" s="2">
        <v>1</v>
      </c>
      <c r="P17" s="8"/>
      <c r="Q17" s="7">
        <f t="shared" si="0"/>
        <v>2</v>
      </c>
      <c r="R17" s="13">
        <f t="shared" si="1"/>
        <v>5.5</v>
      </c>
    </row>
    <row r="18" spans="2:18">
      <c r="B18" s="3" t="s">
        <v>55</v>
      </c>
      <c r="C18" s="7"/>
      <c r="P18" s="8"/>
      <c r="Q18" s="7">
        <f t="shared" si="0"/>
        <v>0</v>
      </c>
      <c r="R18" s="13" t="str">
        <f t="shared" si="1"/>
        <v>absent</v>
      </c>
    </row>
    <row r="19" spans="2:18">
      <c r="B19" s="3" t="s">
        <v>33</v>
      </c>
      <c r="C19" s="7"/>
      <c r="P19" s="8"/>
      <c r="Q19" s="7">
        <f t="shared" si="0"/>
        <v>0</v>
      </c>
      <c r="R19" s="13" t="str">
        <f t="shared" si="1"/>
        <v>absent</v>
      </c>
    </row>
    <row r="20" spans="2:18">
      <c r="B20" s="3" t="s">
        <v>69</v>
      </c>
      <c r="C20" s="7"/>
      <c r="P20" s="8"/>
      <c r="Q20" s="7">
        <f t="shared" si="0"/>
        <v>0</v>
      </c>
      <c r="R20" s="13" t="str">
        <f t="shared" si="1"/>
        <v>absent</v>
      </c>
    </row>
    <row r="21" spans="2:18">
      <c r="B21" s="3" t="s">
        <v>26</v>
      </c>
      <c r="C21" s="7"/>
      <c r="P21" s="8"/>
      <c r="Q21" s="7">
        <f t="shared" si="0"/>
        <v>0</v>
      </c>
      <c r="R21" s="13" t="str">
        <f t="shared" si="1"/>
        <v>absent</v>
      </c>
    </row>
    <row r="22" spans="2:18">
      <c r="B22" s="3" t="s">
        <v>22</v>
      </c>
      <c r="C22" s="7"/>
      <c r="P22" s="8"/>
      <c r="Q22" s="7">
        <f t="shared" si="0"/>
        <v>0</v>
      </c>
      <c r="R22" s="13" t="str">
        <f t="shared" si="1"/>
        <v>absent</v>
      </c>
    </row>
    <row r="23" spans="2:18">
      <c r="B23" s="3" t="s">
        <v>50</v>
      </c>
      <c r="C23" s="7"/>
      <c r="P23" s="8"/>
      <c r="Q23" s="7">
        <f t="shared" si="0"/>
        <v>0</v>
      </c>
      <c r="R23" s="13" t="str">
        <f t="shared" si="1"/>
        <v>absent</v>
      </c>
    </row>
    <row r="24" spans="2:18">
      <c r="B24" s="3" t="s">
        <v>31</v>
      </c>
      <c r="C24" s="7">
        <v>2</v>
      </c>
      <c r="P24" s="8"/>
      <c r="Q24" s="7">
        <f t="shared" si="0"/>
        <v>1</v>
      </c>
      <c r="R24" s="13">
        <f t="shared" si="1"/>
        <v>5.5</v>
      </c>
    </row>
    <row r="25" spans="2:18">
      <c r="B25" s="3" t="s">
        <v>49</v>
      </c>
      <c r="C25" s="7"/>
      <c r="P25" s="8"/>
      <c r="Q25" s="7">
        <f t="shared" si="0"/>
        <v>0</v>
      </c>
      <c r="R25" s="13" t="str">
        <f t="shared" si="1"/>
        <v>absent</v>
      </c>
    </row>
    <row r="26" spans="2:18">
      <c r="B26" s="3" t="s">
        <v>64</v>
      </c>
      <c r="C26" s="7"/>
      <c r="P26" s="8"/>
      <c r="Q26" s="7">
        <f t="shared" si="0"/>
        <v>0</v>
      </c>
      <c r="R26" s="13" t="str">
        <f t="shared" si="1"/>
        <v>absent</v>
      </c>
    </row>
    <row r="27" spans="2:18">
      <c r="B27" s="3" t="s">
        <v>36</v>
      </c>
      <c r="C27" s="7"/>
      <c r="P27" s="8"/>
      <c r="Q27" s="7">
        <f t="shared" si="0"/>
        <v>0</v>
      </c>
      <c r="R27" s="13" t="str">
        <f t="shared" si="1"/>
        <v>absent</v>
      </c>
    </row>
    <row r="28" spans="2:18">
      <c r="B28" s="3" t="s">
        <v>28</v>
      </c>
      <c r="C28" s="7">
        <v>2</v>
      </c>
      <c r="P28" s="8"/>
      <c r="Q28" s="7">
        <f t="shared" si="0"/>
        <v>1</v>
      </c>
      <c r="R28" s="13">
        <f t="shared" si="1"/>
        <v>5.5</v>
      </c>
    </row>
    <row r="29" spans="2:18">
      <c r="B29" s="3" t="s">
        <v>65</v>
      </c>
      <c r="C29" s="7">
        <v>2</v>
      </c>
      <c r="P29" s="8"/>
      <c r="Q29" s="7">
        <f t="shared" si="0"/>
        <v>1</v>
      </c>
      <c r="R29" s="13">
        <f t="shared" si="1"/>
        <v>5.5</v>
      </c>
    </row>
    <row r="30" spans="2:18">
      <c r="B30" s="3" t="s">
        <v>68</v>
      </c>
      <c r="C30" s="7">
        <v>2</v>
      </c>
      <c r="D30" s="2">
        <v>1</v>
      </c>
      <c r="P30" s="8"/>
      <c r="Q30" s="7">
        <f t="shared" si="0"/>
        <v>2</v>
      </c>
      <c r="R30" s="13">
        <f t="shared" si="1"/>
        <v>5.5</v>
      </c>
    </row>
    <row r="31" spans="2:18">
      <c r="B31" s="3" t="s">
        <v>61</v>
      </c>
      <c r="C31" s="7"/>
      <c r="P31" s="8"/>
      <c r="Q31" s="7">
        <f t="shared" si="0"/>
        <v>0</v>
      </c>
      <c r="R31" s="13" t="str">
        <f t="shared" si="1"/>
        <v>absent</v>
      </c>
    </row>
    <row r="32" spans="2:18">
      <c r="B32" s="3" t="s">
        <v>43</v>
      </c>
      <c r="C32" s="7"/>
      <c r="P32" s="8"/>
      <c r="Q32" s="7">
        <f t="shared" si="0"/>
        <v>0</v>
      </c>
      <c r="R32" s="13" t="str">
        <f t="shared" si="1"/>
        <v>absent</v>
      </c>
    </row>
    <row r="33" spans="2:18">
      <c r="B33" s="3" t="s">
        <v>74</v>
      </c>
      <c r="C33" s="7">
        <v>2</v>
      </c>
      <c r="P33" s="8"/>
      <c r="Q33" s="7">
        <f t="shared" si="0"/>
        <v>1</v>
      </c>
      <c r="R33" s="13">
        <f t="shared" si="1"/>
        <v>5.5</v>
      </c>
    </row>
    <row r="34" spans="2:18">
      <c r="B34" s="3" t="s">
        <v>72</v>
      </c>
      <c r="C34" s="7">
        <v>2</v>
      </c>
      <c r="P34" s="8"/>
      <c r="Q34" s="7">
        <f t="shared" si="0"/>
        <v>1</v>
      </c>
      <c r="R34" s="13">
        <f t="shared" si="1"/>
        <v>5.5</v>
      </c>
    </row>
    <row r="35" spans="2:18">
      <c r="B35" s="3" t="s">
        <v>58</v>
      </c>
      <c r="C35" s="7"/>
      <c r="P35" s="8"/>
      <c r="Q35" s="7">
        <f t="shared" ref="Q35:Q66" si="2">COUNT(C35:P35)</f>
        <v>0</v>
      </c>
      <c r="R35" s="13" t="str">
        <f t="shared" si="1"/>
        <v>absent</v>
      </c>
    </row>
    <row r="36" spans="2:18">
      <c r="B36" s="3" t="s">
        <v>62</v>
      </c>
      <c r="C36" s="7"/>
      <c r="P36" s="8"/>
      <c r="Q36" s="7">
        <f t="shared" si="2"/>
        <v>0</v>
      </c>
      <c r="R36" s="13" t="str">
        <f t="shared" si="1"/>
        <v>absent</v>
      </c>
    </row>
    <row r="37" spans="2:18">
      <c r="B37" s="3" t="s">
        <v>34</v>
      </c>
      <c r="C37" s="7">
        <v>2</v>
      </c>
      <c r="P37" s="8"/>
      <c r="Q37" s="7">
        <f t="shared" si="2"/>
        <v>1</v>
      </c>
      <c r="R37" s="13">
        <f t="shared" si="1"/>
        <v>5.5</v>
      </c>
    </row>
    <row r="38" spans="2:18">
      <c r="B38" s="3" t="s">
        <v>54</v>
      </c>
      <c r="C38" s="7"/>
      <c r="P38" s="8"/>
      <c r="Q38" s="7">
        <f t="shared" si="2"/>
        <v>0</v>
      </c>
      <c r="R38" s="13" t="str">
        <f t="shared" si="1"/>
        <v>absent</v>
      </c>
    </row>
    <row r="39" spans="2:18">
      <c r="B39" s="3" t="s">
        <v>57</v>
      </c>
      <c r="C39" s="7"/>
      <c r="P39" s="8"/>
      <c r="Q39" s="7">
        <f t="shared" si="2"/>
        <v>0</v>
      </c>
      <c r="R39" s="13" t="str">
        <f t="shared" si="1"/>
        <v>absent</v>
      </c>
    </row>
    <row r="40" spans="2:18">
      <c r="B40" s="3" t="s">
        <v>27</v>
      </c>
      <c r="C40" s="7"/>
      <c r="P40" s="8"/>
      <c r="Q40" s="7">
        <f t="shared" si="2"/>
        <v>0</v>
      </c>
      <c r="R40" s="13" t="str">
        <f t="shared" si="1"/>
        <v>absent</v>
      </c>
    </row>
    <row r="41" spans="2:18">
      <c r="B41" s="3" t="s">
        <v>19</v>
      </c>
      <c r="C41" s="7"/>
      <c r="P41" s="8"/>
      <c r="Q41" s="7">
        <f t="shared" si="2"/>
        <v>0</v>
      </c>
      <c r="R41" s="13" t="str">
        <f t="shared" si="1"/>
        <v>absent</v>
      </c>
    </row>
    <row r="42" spans="2:18">
      <c r="B42" s="3" t="s">
        <v>59</v>
      </c>
      <c r="C42" s="7">
        <v>2</v>
      </c>
      <c r="D42" s="2">
        <v>1</v>
      </c>
      <c r="P42" s="8"/>
      <c r="Q42" s="7">
        <f t="shared" si="2"/>
        <v>2</v>
      </c>
      <c r="R42" s="13">
        <f t="shared" si="1"/>
        <v>5.5</v>
      </c>
    </row>
    <row r="43" spans="2:18">
      <c r="B43" s="3" t="s">
        <v>41</v>
      </c>
      <c r="C43" s="7">
        <v>2</v>
      </c>
      <c r="P43" s="8"/>
      <c r="Q43" s="7">
        <f t="shared" si="2"/>
        <v>1</v>
      </c>
      <c r="R43" s="13">
        <f t="shared" si="1"/>
        <v>5.5</v>
      </c>
    </row>
    <row r="44" spans="2:18">
      <c r="B44" s="3" t="s">
        <v>35</v>
      </c>
      <c r="C44" s="7">
        <v>2</v>
      </c>
      <c r="P44" s="8"/>
      <c r="Q44" s="7">
        <f t="shared" si="2"/>
        <v>1</v>
      </c>
      <c r="R44" s="13">
        <f t="shared" si="1"/>
        <v>5.5</v>
      </c>
    </row>
    <row r="45" spans="2:18">
      <c r="B45" s="3" t="s">
        <v>51</v>
      </c>
      <c r="C45" s="7">
        <v>2</v>
      </c>
      <c r="P45" s="8"/>
      <c r="Q45" s="7">
        <f t="shared" si="2"/>
        <v>1</v>
      </c>
      <c r="R45" s="13">
        <f t="shared" si="1"/>
        <v>5.5</v>
      </c>
    </row>
    <row r="46" spans="2:18">
      <c r="B46" s="3" t="s">
        <v>44</v>
      </c>
      <c r="C46" s="7"/>
      <c r="P46" s="8"/>
      <c r="Q46" s="7">
        <f t="shared" si="2"/>
        <v>0</v>
      </c>
      <c r="R46" s="13" t="str">
        <f t="shared" si="1"/>
        <v>absent</v>
      </c>
    </row>
    <row r="47" spans="2:18">
      <c r="B47" s="3" t="s">
        <v>40</v>
      </c>
      <c r="C47" s="7">
        <v>2</v>
      </c>
      <c r="P47" s="8"/>
      <c r="Q47" s="7">
        <f t="shared" si="2"/>
        <v>1</v>
      </c>
      <c r="R47" s="13">
        <f t="shared" si="1"/>
        <v>5.5</v>
      </c>
    </row>
    <row r="48" spans="2:18">
      <c r="B48" s="3" t="s">
        <v>25</v>
      </c>
      <c r="C48" s="7">
        <v>2</v>
      </c>
      <c r="D48" s="2">
        <v>1</v>
      </c>
      <c r="P48" s="8"/>
      <c r="Q48" s="7">
        <f t="shared" si="2"/>
        <v>2</v>
      </c>
      <c r="R48" s="13">
        <f t="shared" si="1"/>
        <v>5.5</v>
      </c>
    </row>
    <row r="49" spans="2:18">
      <c r="B49" s="3" t="s">
        <v>78</v>
      </c>
      <c r="C49" s="7">
        <v>2</v>
      </c>
      <c r="P49" s="8"/>
      <c r="Q49" s="7">
        <f t="shared" si="2"/>
        <v>1</v>
      </c>
      <c r="R49" s="13">
        <f t="shared" si="1"/>
        <v>5.5</v>
      </c>
    </row>
    <row r="50" spans="2:18">
      <c r="B50" s="3" t="s">
        <v>37</v>
      </c>
      <c r="C50" s="7">
        <v>2</v>
      </c>
      <c r="P50" s="8"/>
      <c r="Q50" s="7">
        <f t="shared" si="2"/>
        <v>1</v>
      </c>
      <c r="R50" s="13">
        <f t="shared" si="1"/>
        <v>5.5</v>
      </c>
    </row>
    <row r="51" spans="2:18">
      <c r="B51" s="3" t="s">
        <v>23</v>
      </c>
      <c r="C51" s="7">
        <v>2</v>
      </c>
      <c r="P51" s="8"/>
      <c r="Q51" s="7">
        <f t="shared" si="2"/>
        <v>1</v>
      </c>
      <c r="R51" s="13">
        <f t="shared" si="1"/>
        <v>5.5</v>
      </c>
    </row>
    <row r="52" spans="2:18">
      <c r="B52" s="3" t="s">
        <v>39</v>
      </c>
      <c r="C52" s="7"/>
      <c r="P52" s="8"/>
      <c r="Q52" s="7">
        <f t="shared" si="2"/>
        <v>0</v>
      </c>
      <c r="R52" s="13" t="str">
        <f t="shared" si="1"/>
        <v>absent</v>
      </c>
    </row>
    <row r="53" spans="2:18">
      <c r="B53" s="3" t="s">
        <v>73</v>
      </c>
      <c r="C53" s="7">
        <v>2</v>
      </c>
      <c r="P53" s="8"/>
      <c r="Q53" s="7">
        <f t="shared" si="2"/>
        <v>1</v>
      </c>
      <c r="R53" s="13">
        <f t="shared" si="1"/>
        <v>5.5</v>
      </c>
    </row>
    <row r="54" spans="2:18">
      <c r="B54" s="3" t="s">
        <v>77</v>
      </c>
      <c r="C54" s="7">
        <v>2</v>
      </c>
      <c r="P54" s="8"/>
      <c r="Q54" s="7">
        <f t="shared" si="2"/>
        <v>1</v>
      </c>
      <c r="R54" s="13">
        <f t="shared" si="1"/>
        <v>5.5</v>
      </c>
    </row>
    <row r="55" spans="2:18">
      <c r="B55" s="3" t="s">
        <v>20</v>
      </c>
      <c r="C55" s="7">
        <v>2</v>
      </c>
      <c r="P55" s="8"/>
      <c r="Q55" s="7">
        <f t="shared" si="2"/>
        <v>1</v>
      </c>
      <c r="R55" s="13">
        <f t="shared" si="1"/>
        <v>5.5</v>
      </c>
    </row>
    <row r="56" spans="2:18">
      <c r="B56" s="3" t="s">
        <v>66</v>
      </c>
      <c r="C56" s="7"/>
      <c r="D56" s="2">
        <v>1</v>
      </c>
      <c r="P56" s="8"/>
      <c r="Q56" s="7">
        <f t="shared" si="2"/>
        <v>1</v>
      </c>
      <c r="R56" s="13">
        <f t="shared" si="1"/>
        <v>5</v>
      </c>
    </row>
    <row r="57" spans="2:18">
      <c r="B57" s="3" t="s">
        <v>17</v>
      </c>
      <c r="C57" s="7">
        <v>2</v>
      </c>
      <c r="D57" s="2">
        <v>1</v>
      </c>
      <c r="P57" s="8"/>
      <c r="Q57" s="7">
        <f t="shared" si="2"/>
        <v>2</v>
      </c>
      <c r="R57" s="13">
        <f t="shared" si="1"/>
        <v>5.5</v>
      </c>
    </row>
    <row r="58" spans="2:18">
      <c r="B58" s="3" t="s">
        <v>48</v>
      </c>
      <c r="C58" s="7"/>
      <c r="P58" s="8"/>
      <c r="Q58" s="7">
        <f t="shared" si="2"/>
        <v>0</v>
      </c>
      <c r="R58" s="13" t="str">
        <f t="shared" si="1"/>
        <v>absent</v>
      </c>
    </row>
    <row r="59" spans="2:18">
      <c r="B59" s="3" t="s">
        <v>52</v>
      </c>
      <c r="C59" s="7"/>
      <c r="P59" s="8"/>
      <c r="Q59" s="7">
        <f t="shared" si="2"/>
        <v>0</v>
      </c>
      <c r="R59" s="13" t="str">
        <f t="shared" si="1"/>
        <v>absent</v>
      </c>
    </row>
    <row r="60" spans="2:18">
      <c r="B60" s="3" t="s">
        <v>71</v>
      </c>
      <c r="C60" s="7">
        <v>2</v>
      </c>
      <c r="D60" s="2">
        <v>1</v>
      </c>
      <c r="P60" s="8"/>
      <c r="Q60" s="7">
        <f t="shared" si="2"/>
        <v>2</v>
      </c>
      <c r="R60" s="13">
        <f t="shared" si="1"/>
        <v>5.5</v>
      </c>
    </row>
    <row r="61" spans="2:18">
      <c r="B61" s="3" t="s">
        <v>46</v>
      </c>
      <c r="C61" s="7"/>
      <c r="D61" s="2">
        <v>1</v>
      </c>
      <c r="P61" s="8"/>
      <c r="Q61" s="7">
        <f t="shared" si="2"/>
        <v>1</v>
      </c>
      <c r="R61" s="13">
        <f t="shared" si="1"/>
        <v>5</v>
      </c>
    </row>
    <row r="62" spans="2:18">
      <c r="B62" s="3" t="s">
        <v>45</v>
      </c>
      <c r="C62" s="7"/>
      <c r="P62" s="8"/>
      <c r="Q62" s="7">
        <f t="shared" si="2"/>
        <v>0</v>
      </c>
      <c r="R62" s="13" t="str">
        <f t="shared" si="1"/>
        <v>absent</v>
      </c>
    </row>
    <row r="63" spans="2:18">
      <c r="B63" s="3" t="s">
        <v>29</v>
      </c>
      <c r="C63" s="7"/>
      <c r="P63" s="8"/>
      <c r="Q63" s="7">
        <f t="shared" si="2"/>
        <v>0</v>
      </c>
      <c r="R63" s="13" t="str">
        <f t="shared" si="1"/>
        <v>absent</v>
      </c>
    </row>
    <row r="64" spans="2:18">
      <c r="B64" s="3" t="s">
        <v>53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  <c r="Q64" s="9">
        <f t="shared" si="2"/>
        <v>0</v>
      </c>
      <c r="R64" s="14" t="str">
        <f t="shared" si="1"/>
        <v>absent</v>
      </c>
    </row>
    <row r="65" spans="2:18">
      <c r="B65" s="3" t="s">
        <v>79</v>
      </c>
      <c r="D65" s="2">
        <v>1</v>
      </c>
      <c r="Q65" s="9">
        <f t="shared" ref="Q65:Q66" si="3">COUNT(C65:P65)</f>
        <v>1</v>
      </c>
      <c r="R65" s="14">
        <f t="shared" ref="R65:R66" si="4">IF(COUNT(C65:P65)&gt;0, MIN(5+(COUNTIF(C65:P65,"&gt;1")/2),10), "absent")</f>
        <v>5</v>
      </c>
    </row>
    <row r="66" spans="2:18">
      <c r="B66" s="3" t="s">
        <v>80</v>
      </c>
      <c r="D66" s="2">
        <v>1</v>
      </c>
      <c r="Q66" s="9">
        <f t="shared" si="3"/>
        <v>1</v>
      </c>
      <c r="R66" s="14">
        <f t="shared" si="4"/>
        <v>5</v>
      </c>
    </row>
  </sheetData>
  <sortState xmlns:xlrd2="http://schemas.microsoft.com/office/spreadsheetml/2017/richdata2" ref="B3:R64">
    <sortCondition ref="B64"/>
  </sortState>
  <conditionalFormatting sqref="C3:P64">
    <cfRule type="cellIs" dxfId="0" priority="1" operator="greaterThanOrEqual">
      <formula>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2026-10-13T16:04:06Z</dcterms:modified>
</cp:coreProperties>
</file>