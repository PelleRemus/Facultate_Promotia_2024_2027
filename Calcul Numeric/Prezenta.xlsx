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4_2027\Calcul Numeric\"/>
    </mc:Choice>
  </mc:AlternateContent>
  <xr:revisionPtr revIDLastSave="0" documentId="13_ncr:1_{252FEA35-7B50-4C01-8286-CC3DFED59D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3" i="1" l="1"/>
  <c r="R63" i="1"/>
  <c r="Q8" i="1"/>
  <c r="R8" i="1"/>
  <c r="Q51" i="1"/>
  <c r="R51" i="1"/>
  <c r="Q61" i="1"/>
  <c r="R61" i="1"/>
  <c r="Q48" i="1"/>
  <c r="R48" i="1"/>
  <c r="R4" i="1"/>
  <c r="R5" i="1"/>
  <c r="R6" i="1"/>
  <c r="R7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9" i="1"/>
  <c r="R50" i="1"/>
  <c r="R52" i="1"/>
  <c r="R53" i="1"/>
  <c r="R54" i="1"/>
  <c r="R55" i="1"/>
  <c r="R56" i="1"/>
  <c r="R57" i="1"/>
  <c r="R58" i="1"/>
  <c r="R59" i="1"/>
  <c r="R60" i="1"/>
  <c r="R62" i="1"/>
  <c r="R64" i="1"/>
  <c r="R65" i="1"/>
  <c r="R66" i="1"/>
  <c r="R67" i="1"/>
  <c r="R68" i="1"/>
  <c r="R69" i="1"/>
  <c r="R3" i="1"/>
  <c r="Q52" i="1"/>
  <c r="Q34" i="1"/>
  <c r="Q17" i="1"/>
  <c r="Q10" i="1"/>
  <c r="Q57" i="1"/>
  <c r="Q56" i="1"/>
  <c r="Q35" i="1"/>
  <c r="Q4" i="1"/>
  <c r="Q5" i="1"/>
  <c r="Q6" i="1"/>
  <c r="Q7" i="1"/>
  <c r="Q9" i="1"/>
  <c r="Q11" i="1"/>
  <c r="Q12" i="1"/>
  <c r="Q13" i="1"/>
  <c r="Q14" i="1"/>
  <c r="Q15" i="1"/>
  <c r="Q16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6" i="1"/>
  <c r="Q37" i="1"/>
  <c r="Q38" i="1"/>
  <c r="Q39" i="1"/>
  <c r="Q40" i="1"/>
  <c r="Q41" i="1"/>
  <c r="Q42" i="1"/>
  <c r="Q43" i="1"/>
  <c r="Q44" i="1"/>
  <c r="Q45" i="1"/>
  <c r="Q46" i="1"/>
  <c r="Q47" i="1"/>
  <c r="Q49" i="1"/>
  <c r="Q50" i="1"/>
  <c r="Q53" i="1"/>
  <c r="Q54" i="1"/>
  <c r="Q55" i="1"/>
  <c r="Q58" i="1"/>
  <c r="Q59" i="1"/>
  <c r="Q60" i="1"/>
  <c r="Q62" i="1"/>
  <c r="Q64" i="1"/>
  <c r="Q65" i="1"/>
  <c r="Q66" i="1"/>
  <c r="Q67" i="1"/>
  <c r="Q68" i="1"/>
  <c r="Q69" i="1"/>
  <c r="Q3" i="1"/>
</calcChain>
</file>

<file path=xl/sharedStrings.xml><?xml version="1.0" encoding="utf-8"?>
<sst xmlns="http://schemas.openxmlformats.org/spreadsheetml/2006/main" count="84" uniqueCount="84">
  <si>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</si>
  <si>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</si>
  <si>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</si>
  <si>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</si>
  <si>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</si>
  <si>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</si>
  <si>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</si>
  <si>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</si>
  <si>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</si>
  <si>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</si>
  <si>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</si>
  <si>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</si>
  <si>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</si>
  <si>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</si>
  <si>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</si>
  <si>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</si>
  <si>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</si>
  <si>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Tabita Alb</t>
  </si>
  <si>
    <t>Antonina Clipca</t>
  </si>
  <si>
    <t>Mirela Cristutiu</t>
  </si>
  <si>
    <t>Simona-Rahela Costean</t>
  </si>
  <si>
    <t>Adrian Stefan Basceanu</t>
  </si>
  <si>
    <t>Darius Florian Ciora</t>
  </si>
  <si>
    <t>Remiel-Gavril Cicort</t>
  </si>
  <si>
    <t>Carmina Sacasti Tivadar</t>
  </si>
  <si>
    <t>Ramona Aurelia Roman</t>
  </si>
  <si>
    <t>Darius Felix Trifan</t>
  </si>
  <si>
    <t>Marius Vatra</t>
  </si>
  <si>
    <t>Denisa Suldac</t>
  </si>
  <si>
    <t>Yeremchuk Liudmyla</t>
  </si>
  <si>
    <t>Adelin Sandor</t>
  </si>
  <si>
    <t>David Furic</t>
  </si>
  <si>
    <t>Andrei Vuscan</t>
  </si>
  <si>
    <t>Cristian Seichei</t>
  </si>
  <si>
    <t>Lucas Faraus</t>
  </si>
  <si>
    <t>Patrick Lenghel</t>
  </si>
  <si>
    <t>Denis Zahari</t>
  </si>
  <si>
    <t>Razvan Mihut</t>
  </si>
  <si>
    <t>Alexandra Blaga</t>
  </si>
  <si>
    <t>Sebestyen Ovlachi</t>
  </si>
  <si>
    <t>Rafael Gug</t>
  </si>
  <si>
    <t>Oxana Danilenco</t>
  </si>
  <si>
    <t>Adelina Manole</t>
  </si>
  <si>
    <t>Erik Chiliment</t>
  </si>
  <si>
    <t>Paul Szilveszter</t>
  </si>
  <si>
    <t>Vlad Barnutiu</t>
  </si>
  <si>
    <t>Victoria Szegecs</t>
  </si>
  <si>
    <t>Andreea Ciucas</t>
  </si>
  <si>
    <t>Tibor Varga</t>
  </si>
  <si>
    <t>David Varga</t>
  </si>
  <si>
    <t>Darius Pantea</t>
  </si>
  <si>
    <t>Paul Derecichei</t>
  </si>
  <si>
    <t>Vanesa Marcu</t>
  </si>
  <si>
    <t>Zsolt Dudas</t>
  </si>
  <si>
    <t>Maria Butnaru</t>
  </si>
  <si>
    <t>Casian Stirbe</t>
  </si>
  <si>
    <t>Alexandru Gabriel Bene</t>
  </si>
  <si>
    <t>Mario Alexandru Hutu</t>
  </si>
  <si>
    <t>Iulian Cioara</t>
  </si>
  <si>
    <t>Nora Boros</t>
  </si>
  <si>
    <t>Anita Schmidt</t>
  </si>
  <si>
    <t>Emil Macarie</t>
  </si>
  <si>
    <t>Laurentiu Flonta</t>
  </si>
  <si>
    <t>Alex Pasca</t>
  </si>
  <si>
    <t>Denis Marian</t>
  </si>
  <si>
    <t>Diana Marinau</t>
  </si>
  <si>
    <t>Stefan Neagoe</t>
  </si>
  <si>
    <t>Andrei Dascal</t>
  </si>
  <si>
    <t>Dorin Bala</t>
  </si>
  <si>
    <t>Damaris Marian</t>
  </si>
  <si>
    <t>Anton Jula</t>
  </si>
  <si>
    <t>Vanesa Popovici</t>
  </si>
  <si>
    <t>Giulia David</t>
  </si>
  <si>
    <t>Sergiu Pojega</t>
  </si>
  <si>
    <t>Flavius Mocan</t>
  </si>
  <si>
    <t>Bogdan Madar</t>
  </si>
  <si>
    <t>Alexia Costin</t>
  </si>
  <si>
    <t>Sergiu Sofineti</t>
  </si>
  <si>
    <t>Razvan Magui</t>
  </si>
  <si>
    <t>Rafael Foica</t>
  </si>
  <si>
    <t>Teodora Borze</t>
  </si>
  <si>
    <t>Tudor Pinzariu</t>
  </si>
  <si>
    <t>Alexandru Dejeu</t>
  </si>
  <si>
    <t>Rares Radut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</si>
</sst>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5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3" fillId="3" borderId="8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69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5" sqref="H15"/>
    </sheetView>
  </sheetViews>
  <sheetFormatPr defaultRowHeight="15"/>
  <cols>
    <col min="1" max="1" width="2.85546875" style="2" customWidth="1"/>
    <col min="2" max="2" width="27.28515625" style="2" customWidth="1"/>
    <col min="3" max="16384" width="9.140625" style="2"/>
  </cols>
  <sheetData>
    <row r="2" spans="2:18">
      <c r="B2" s="1" t="s">
        <v>0</v>
      </c>
      <c r="C2" s="12" t="s">
        <v>1</v>
      </c>
      <c r="D2" s="12" t="s">
        <v>2</v>
      </c>
      <c r="E2" s="12" t="s">
        <v>3</v>
      </c>
      <c r="F2" s="12" t="s">
        <v>4</v>
      </c>
      <c r="G2" s="12" t="s">
        <v>5</v>
      </c>
      <c r="H2" s="12" t="s">
        <v>6</v>
      </c>
      <c r="I2" s="12" t="s">
        <v>7</v>
      </c>
      <c r="J2" s="13" t="s">
        <v>8</v>
      </c>
      <c r="K2" s="12" t="s">
        <v>9</v>
      </c>
      <c r="L2" s="12" t="s">
        <v>10</v>
      </c>
      <c r="M2" s="12" t="s">
        <v>11</v>
      </c>
      <c r="N2" s="12" t="s">
        <v>12</v>
      </c>
      <c r="O2" s="12" t="s">
        <v>13</v>
      </c>
      <c r="P2" s="12" t="s">
        <v>14</v>
      </c>
      <c r="Q2" s="12" t="s">
        <v>15</v>
      </c>
      <c r="R2" s="12" t="s">
        <v>16</v>
      </c>
    </row>
    <row r="3" spans="2:18">
      <c r="B3" s="3" t="s">
        <v>30</v>
      </c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16"/>
      <c r="Q3" s="9">
        <f>COUNT(C3:P3)</f>
        <v>0</v>
      </c>
      <c r="R3" s="9" t="str">
        <f>IF(COUNT(C3:P3)&gt;0, MIN(5+(COUNTIF(C3:P3,"&gt;1")/2),10), "absent")</f>
        <v>absent</v>
      </c>
    </row>
    <row r="4" spans="2:18">
      <c r="B4" s="3" t="s">
        <v>42</v>
      </c>
      <c r="C4" s="6">
        <v>2</v>
      </c>
      <c r="D4" s="15">
        <v>2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7"/>
      <c r="Q4" s="10">
        <f>COUNT(C4:P4)</f>
        <v>2</v>
      </c>
      <c r="R4" s="10">
        <f>IF(COUNT(C4:P4)&gt;0, MIN(5+(COUNTIF(C4:P4,"&gt;1")/2),10), "absent")</f>
        <v>6</v>
      </c>
    </row>
    <row r="5" spans="2:18">
      <c r="B5" s="3" t="s">
        <v>21</v>
      </c>
      <c r="C5" s="6">
        <v>2</v>
      </c>
      <c r="D5" s="15">
        <v>2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7"/>
      <c r="Q5" s="10">
        <f>COUNT(C5:P5)</f>
        <v>2</v>
      </c>
      <c r="R5" s="10">
        <f>IF(COUNT(C5:P5)&gt;0, MIN(5+(COUNTIF(C5:P5,"&gt;1")/2),10), "absent")</f>
        <v>6</v>
      </c>
    </row>
    <row r="6" spans="2:18">
      <c r="B6" s="3" t="s">
        <v>63</v>
      </c>
      <c r="C6" s="6">
        <v>2</v>
      </c>
      <c r="D6" s="15">
        <v>1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7"/>
      <c r="Q6" s="10">
        <f>COUNT(C6:P6)</f>
        <v>2</v>
      </c>
      <c r="R6" s="10">
        <f>IF(COUNT(C6:P6)&gt;0, MIN(5+(COUNTIF(C6:P6,"&gt;1")/2),10), "absent")</f>
        <v>5.5</v>
      </c>
    </row>
    <row r="7" spans="2:18">
      <c r="B7" s="3" t="s">
        <v>38</v>
      </c>
      <c r="C7" s="6">
        <v>2</v>
      </c>
      <c r="D7" s="15">
        <v>1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7"/>
      <c r="Q7" s="10">
        <f>COUNT(C7:P7)</f>
        <v>2</v>
      </c>
      <c r="R7" s="10">
        <f>IF(COUNT(C7:P7)&gt;0, MIN(5+(COUNTIF(C7:P7,"&gt;1")/2),10), "absent")</f>
        <v>5.5</v>
      </c>
    </row>
    <row r="8" spans="2:18">
      <c r="B8" s="3" t="s">
        <v>82</v>
      </c>
      <c r="C8" s="6"/>
      <c r="D8" s="15">
        <v>1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7"/>
      <c r="Q8" s="10">
        <f>COUNT(C8:P8)</f>
        <v>1</v>
      </c>
      <c r="R8" s="10">
        <f>IF(COUNT(C8:P8)&gt;0, MIN(5+(COUNTIF(C8:P8,"&gt;1")/2),10), "absent")</f>
        <v>5</v>
      </c>
    </row>
    <row r="9" spans="2:18">
      <c r="B9" s="3" t="s">
        <v>56</v>
      </c>
      <c r="C9" s="6">
        <v>2</v>
      </c>
      <c r="D9" s="15">
        <v>2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7"/>
      <c r="Q9" s="10">
        <f>COUNT(C9:P9)</f>
        <v>2</v>
      </c>
      <c r="R9" s="10">
        <f>IF(COUNT(C9:P9)&gt;0, MIN(5+(COUNTIF(C9:P9,"&gt;1")/2),10), "absent")</f>
        <v>6</v>
      </c>
    </row>
    <row r="10" spans="2:18">
      <c r="B10" s="3" t="s">
        <v>76</v>
      </c>
      <c r="C10" s="6">
        <v>2</v>
      </c>
      <c r="D10" s="15">
        <v>1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7"/>
      <c r="Q10" s="10">
        <f>COUNT(C10:P10)</f>
        <v>2</v>
      </c>
      <c r="R10" s="10">
        <f>IF(COUNT(C10:P10)&gt;0, MIN(5+(COUNTIF(C10:P10,"&gt;1")/2),10), "absent")</f>
        <v>5.5</v>
      </c>
    </row>
    <row r="11" spans="2:18">
      <c r="B11" s="3" t="s">
        <v>47</v>
      </c>
      <c r="C11" s="6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7"/>
      <c r="Q11" s="10">
        <f>COUNT(C11:P11)</f>
        <v>0</v>
      </c>
      <c r="R11" s="10" t="str">
        <f>IF(COUNT(C11:P11)&gt;0, MIN(5+(COUNTIF(C11:P11,"&gt;1")/2),10), "absent")</f>
        <v>absent</v>
      </c>
    </row>
    <row r="12" spans="2:18">
      <c r="B12" s="3" t="s">
        <v>67</v>
      </c>
      <c r="C12" s="6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/>
      <c r="Q12" s="10">
        <f>COUNT(C12:P12)</f>
        <v>0</v>
      </c>
      <c r="R12" s="10" t="str">
        <f>IF(COUNT(C12:P12)&gt;0, MIN(5+(COUNTIF(C12:P12,"&gt;1")/2),10), "absent")</f>
        <v>absent</v>
      </c>
    </row>
    <row r="13" spans="2:18">
      <c r="B13" s="3" t="s">
        <v>32</v>
      </c>
      <c r="C13" s="6"/>
      <c r="D13" s="15">
        <v>1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7"/>
      <c r="Q13" s="10">
        <f>COUNT(C13:P13)</f>
        <v>1</v>
      </c>
      <c r="R13" s="10">
        <f>IF(COUNT(C13:P13)&gt;0, MIN(5+(COUNTIF(C13:P13,"&gt;1")/2),10), "absent")</f>
        <v>5</v>
      </c>
    </row>
    <row r="14" spans="2:18">
      <c r="B14" s="3" t="s">
        <v>60</v>
      </c>
      <c r="C14" s="6">
        <v>2</v>
      </c>
      <c r="D14" s="15">
        <v>2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7"/>
      <c r="Q14" s="10">
        <f>COUNT(C14:P14)</f>
        <v>2</v>
      </c>
      <c r="R14" s="10">
        <f>IF(COUNT(C14:P14)&gt;0, MIN(5+(COUNTIF(C14:P14,"&gt;1")/2),10), "absent")</f>
        <v>6</v>
      </c>
    </row>
    <row r="15" spans="2:18">
      <c r="B15" s="3" t="s">
        <v>70</v>
      </c>
      <c r="C15" s="6"/>
      <c r="D15" s="15">
        <v>1</v>
      </c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7"/>
      <c r="Q15" s="10">
        <f>COUNT(C15:P15)</f>
        <v>1</v>
      </c>
      <c r="R15" s="10">
        <f>IF(COUNT(C15:P15)&gt;0, MIN(5+(COUNTIF(C15:P15,"&gt;1")/2),10), "absent")</f>
        <v>5</v>
      </c>
    </row>
    <row r="16" spans="2:18">
      <c r="B16" s="3" t="s">
        <v>18</v>
      </c>
      <c r="C16" s="6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7"/>
      <c r="Q16" s="10">
        <f>COUNT(C16:P16)</f>
        <v>0</v>
      </c>
      <c r="R16" s="10" t="str">
        <f>IF(COUNT(C16:P16)&gt;0, MIN(5+(COUNTIF(C16:P16,"&gt;1")/2),10), "absent")</f>
        <v>absent</v>
      </c>
    </row>
    <row r="17" spans="2:18">
      <c r="B17" s="3" t="s">
        <v>75</v>
      </c>
      <c r="C17" s="6">
        <v>2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/>
      <c r="Q17" s="10">
        <f>COUNT(C17:P17)</f>
        <v>1</v>
      </c>
      <c r="R17" s="10">
        <f>IF(COUNT(C17:P17)&gt;0, MIN(5+(COUNTIF(C17:P17,"&gt;1")/2),10), "absent")</f>
        <v>5.5</v>
      </c>
    </row>
    <row r="18" spans="2:18">
      <c r="B18" s="3" t="s">
        <v>24</v>
      </c>
      <c r="C18" s="6">
        <v>2</v>
      </c>
      <c r="D18" s="15">
        <v>1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7"/>
      <c r="Q18" s="10">
        <f>COUNT(C18:P18)</f>
        <v>2</v>
      </c>
      <c r="R18" s="10">
        <f>IF(COUNT(C18:P18)&gt;0, MIN(5+(COUNTIF(C18:P18,"&gt;1")/2),10), "absent")</f>
        <v>5.5</v>
      </c>
    </row>
    <row r="19" spans="2:18">
      <c r="B19" s="3" t="s">
        <v>55</v>
      </c>
      <c r="C19" s="6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7"/>
      <c r="Q19" s="10">
        <f>COUNT(C19:P19)</f>
        <v>0</v>
      </c>
      <c r="R19" s="10" t="str">
        <f>IF(COUNT(C19:P19)&gt;0, MIN(5+(COUNTIF(C19:P19,"&gt;1")/2),10), "absent")</f>
        <v>absent</v>
      </c>
    </row>
    <row r="20" spans="2:18">
      <c r="B20" s="3" t="s">
        <v>33</v>
      </c>
      <c r="C20" s="6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7"/>
      <c r="Q20" s="10">
        <f>COUNT(C20:P20)</f>
        <v>0</v>
      </c>
      <c r="R20" s="10" t="str">
        <f>IF(COUNT(C20:P20)&gt;0, MIN(5+(COUNTIF(C20:P20,"&gt;1")/2),10), "absent")</f>
        <v>absent</v>
      </c>
    </row>
    <row r="21" spans="2:18">
      <c r="B21" s="3" t="s">
        <v>69</v>
      </c>
      <c r="C21" s="6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7"/>
      <c r="Q21" s="10">
        <f>COUNT(C21:P21)</f>
        <v>0</v>
      </c>
      <c r="R21" s="10" t="str">
        <f>IF(COUNT(C21:P21)&gt;0, MIN(5+(COUNTIF(C21:P21,"&gt;1")/2),10), "absent")</f>
        <v>absent</v>
      </c>
    </row>
    <row r="22" spans="2:18">
      <c r="B22" s="3" t="s">
        <v>26</v>
      </c>
      <c r="C22" s="6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10">
        <f>COUNT(C22:P22)</f>
        <v>0</v>
      </c>
      <c r="R22" s="10" t="str">
        <f>IF(COUNT(C22:P22)&gt;0, MIN(5+(COUNTIF(C22:P22,"&gt;1")/2),10), "absent")</f>
        <v>absent</v>
      </c>
    </row>
    <row r="23" spans="2:18">
      <c r="B23" s="3" t="s">
        <v>22</v>
      </c>
      <c r="C23" s="6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10">
        <f>COUNT(C23:P23)</f>
        <v>0</v>
      </c>
      <c r="R23" s="10" t="str">
        <f>IF(COUNT(C23:P23)&gt;0, MIN(5+(COUNTIF(C23:P23,"&gt;1")/2),10), "absent")</f>
        <v>absent</v>
      </c>
    </row>
    <row r="24" spans="2:18">
      <c r="B24" s="3" t="s">
        <v>50</v>
      </c>
      <c r="C24" s="6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0">
        <f>COUNT(C24:P24)</f>
        <v>0</v>
      </c>
      <c r="R24" s="10" t="str">
        <f>IF(COUNT(C24:P24)&gt;0, MIN(5+(COUNTIF(C24:P24,"&gt;1")/2),10), "absent")</f>
        <v>absent</v>
      </c>
    </row>
    <row r="25" spans="2:18">
      <c r="B25" s="3" t="s">
        <v>31</v>
      </c>
      <c r="C25" s="6">
        <v>2</v>
      </c>
      <c r="D25" s="15">
        <v>2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0">
        <f>COUNT(C25:P25)</f>
        <v>2</v>
      </c>
      <c r="R25" s="10">
        <f>IF(COUNT(C25:P25)&gt;0, MIN(5+(COUNTIF(C25:P25,"&gt;1")/2),10), "absent")</f>
        <v>6</v>
      </c>
    </row>
    <row r="26" spans="2:18">
      <c r="B26" s="3" t="s">
        <v>49</v>
      </c>
      <c r="C26" s="6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0">
        <f>COUNT(C26:P26)</f>
        <v>0</v>
      </c>
      <c r="R26" s="10" t="str">
        <f>IF(COUNT(C26:P26)&gt;0, MIN(5+(COUNTIF(C26:P26,"&gt;1")/2),10), "absent")</f>
        <v>absent</v>
      </c>
    </row>
    <row r="27" spans="2:18">
      <c r="B27" s="3" t="s">
        <v>64</v>
      </c>
      <c r="C27" s="6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0">
        <f>COUNT(C27:P27)</f>
        <v>0</v>
      </c>
      <c r="R27" s="10" t="str">
        <f>IF(COUNT(C27:P27)&gt;0, MIN(5+(COUNTIF(C27:P27,"&gt;1")/2),10), "absent")</f>
        <v>absent</v>
      </c>
    </row>
    <row r="28" spans="2:18">
      <c r="B28" s="3" t="s">
        <v>36</v>
      </c>
      <c r="C28" s="6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0">
        <f>COUNT(C28:P28)</f>
        <v>0</v>
      </c>
      <c r="R28" s="10" t="str">
        <f>IF(COUNT(C28:P28)&gt;0, MIN(5+(COUNTIF(C28:P28,"&gt;1")/2),10), "absent")</f>
        <v>absent</v>
      </c>
    </row>
    <row r="29" spans="2:18">
      <c r="B29" s="3" t="s">
        <v>28</v>
      </c>
      <c r="C29" s="6">
        <v>2</v>
      </c>
      <c r="D29" s="15">
        <v>2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0">
        <f>COUNT(C29:P29)</f>
        <v>2</v>
      </c>
      <c r="R29" s="10">
        <f>IF(COUNT(C29:P29)&gt;0, MIN(5+(COUNTIF(C29:P29,"&gt;1")/2),10), "absent")</f>
        <v>6</v>
      </c>
    </row>
    <row r="30" spans="2:18">
      <c r="B30" s="3" t="s">
        <v>65</v>
      </c>
      <c r="C30" s="6">
        <v>2</v>
      </c>
      <c r="D30" s="15">
        <v>2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0">
        <f>COUNT(C30:P30)</f>
        <v>2</v>
      </c>
      <c r="R30" s="10">
        <f>IF(COUNT(C30:P30)&gt;0, MIN(5+(COUNTIF(C30:P30,"&gt;1")/2),10), "absent")</f>
        <v>6</v>
      </c>
    </row>
    <row r="31" spans="2:18">
      <c r="B31" s="3" t="s">
        <v>68</v>
      </c>
      <c r="C31" s="6">
        <v>2</v>
      </c>
      <c r="D31" s="15">
        <v>1</v>
      </c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0">
        <f>COUNT(C31:P31)</f>
        <v>2</v>
      </c>
      <c r="R31" s="10">
        <f>IF(COUNT(C31:P31)&gt;0, MIN(5+(COUNTIF(C31:P31,"&gt;1")/2),10), "absent")</f>
        <v>5.5</v>
      </c>
    </row>
    <row r="32" spans="2:18">
      <c r="B32" s="3" t="s">
        <v>61</v>
      </c>
      <c r="C32" s="6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0">
        <f>COUNT(C32:P32)</f>
        <v>0</v>
      </c>
      <c r="R32" s="10" t="str">
        <f>IF(COUNT(C32:P32)&gt;0, MIN(5+(COUNTIF(C32:P32,"&gt;1")/2),10), "absent")</f>
        <v>absent</v>
      </c>
    </row>
    <row r="33" spans="2:18">
      <c r="B33" s="3" t="s">
        <v>43</v>
      </c>
      <c r="C33" s="6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0">
        <f>COUNT(C33:P33)</f>
        <v>0</v>
      </c>
      <c r="R33" s="10" t="str">
        <f>IF(COUNT(C33:P33)&gt;0, MIN(5+(COUNTIF(C33:P33,"&gt;1")/2),10), "absent")</f>
        <v>absent</v>
      </c>
    </row>
    <row r="34" spans="2:18">
      <c r="B34" s="3" t="s">
        <v>74</v>
      </c>
      <c r="C34" s="6">
        <v>2</v>
      </c>
      <c r="D34" s="15">
        <v>1</v>
      </c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0">
        <f>COUNT(C34:P34)</f>
        <v>2</v>
      </c>
      <c r="R34" s="10">
        <f>IF(COUNT(C34:P34)&gt;0, MIN(5+(COUNTIF(C34:P34,"&gt;1")/2),10), "absent")</f>
        <v>5.5</v>
      </c>
    </row>
    <row r="35" spans="2:18">
      <c r="B35" s="3" t="s">
        <v>72</v>
      </c>
      <c r="C35" s="6">
        <v>2</v>
      </c>
      <c r="D35" s="15">
        <v>1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0">
        <f>COUNT(C35:P35)</f>
        <v>2</v>
      </c>
      <c r="R35" s="10">
        <f>IF(COUNT(C35:P35)&gt;0, MIN(5+(COUNTIF(C35:P35,"&gt;1")/2),10), "absent")</f>
        <v>5.5</v>
      </c>
    </row>
    <row r="36" spans="2:18">
      <c r="B36" s="3" t="s">
        <v>58</v>
      </c>
      <c r="C36" s="6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0">
        <f>COUNT(C36:P36)</f>
        <v>0</v>
      </c>
      <c r="R36" s="10" t="str">
        <f>IF(COUNT(C36:P36)&gt;0, MIN(5+(COUNTIF(C36:P36,"&gt;1")/2),10), "absent")</f>
        <v>absent</v>
      </c>
    </row>
    <row r="37" spans="2:18">
      <c r="B37" s="3" t="s">
        <v>62</v>
      </c>
      <c r="C37" s="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0">
        <f>COUNT(C37:P37)</f>
        <v>0</v>
      </c>
      <c r="R37" s="10" t="str">
        <f>IF(COUNT(C37:P37)&gt;0, MIN(5+(COUNTIF(C37:P37,"&gt;1")/2),10), "absent")</f>
        <v>absent</v>
      </c>
    </row>
    <row r="38" spans="2:18">
      <c r="B38" s="3" t="s">
        <v>34</v>
      </c>
      <c r="C38" s="6">
        <v>2</v>
      </c>
      <c r="D38" s="15">
        <v>1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0">
        <f>COUNT(C38:P38)</f>
        <v>2</v>
      </c>
      <c r="R38" s="10">
        <f>IF(COUNT(C38:P38)&gt;0, MIN(5+(COUNTIF(C38:P38,"&gt;1")/2),10), "absent")</f>
        <v>5.5</v>
      </c>
    </row>
    <row r="39" spans="2:18">
      <c r="B39" s="3" t="s">
        <v>54</v>
      </c>
      <c r="C39" s="6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0">
        <f>COUNT(C39:P39)</f>
        <v>0</v>
      </c>
      <c r="R39" s="10" t="str">
        <f>IF(COUNT(C39:P39)&gt;0, MIN(5+(COUNTIF(C39:P39,"&gt;1")/2),10), "absent")</f>
        <v>absent</v>
      </c>
    </row>
    <row r="40" spans="2:18">
      <c r="B40" s="3" t="s">
        <v>57</v>
      </c>
      <c r="C40" s="6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0">
        <f>COUNT(C40:P40)</f>
        <v>0</v>
      </c>
      <c r="R40" s="10" t="str">
        <f>IF(COUNT(C40:P40)&gt;0, MIN(5+(COUNTIF(C40:P40,"&gt;1")/2),10), "absent")</f>
        <v>absent</v>
      </c>
    </row>
    <row r="41" spans="2:18">
      <c r="B41" s="3" t="s">
        <v>27</v>
      </c>
      <c r="C41" s="6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0">
        <f>COUNT(C41:P41)</f>
        <v>0</v>
      </c>
      <c r="R41" s="10" t="str">
        <f>IF(COUNT(C41:P41)&gt;0, MIN(5+(COUNTIF(C41:P41,"&gt;1")/2),10), "absent")</f>
        <v>absent</v>
      </c>
    </row>
    <row r="42" spans="2:18">
      <c r="B42" s="3" t="s">
        <v>19</v>
      </c>
      <c r="C42" s="6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0">
        <f>COUNT(C42:P42)</f>
        <v>0</v>
      </c>
      <c r="R42" s="10" t="str">
        <f>IF(COUNT(C42:P42)&gt;0, MIN(5+(COUNTIF(C42:P42,"&gt;1")/2),10), "absent")</f>
        <v>absent</v>
      </c>
    </row>
    <row r="43" spans="2:18">
      <c r="B43" s="3" t="s">
        <v>59</v>
      </c>
      <c r="C43" s="6">
        <v>2</v>
      </c>
      <c r="D43" s="15">
        <v>2</v>
      </c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0">
        <f>COUNT(C43:P43)</f>
        <v>2</v>
      </c>
      <c r="R43" s="10">
        <f>IF(COUNT(C43:P43)&gt;0, MIN(5+(COUNTIF(C43:P43,"&gt;1")/2),10), "absent")</f>
        <v>6</v>
      </c>
    </row>
    <row r="44" spans="2:18">
      <c r="B44" s="3" t="s">
        <v>41</v>
      </c>
      <c r="C44" s="6">
        <v>2</v>
      </c>
      <c r="D44" s="15">
        <v>2</v>
      </c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0">
        <f>COUNT(C44:P44)</f>
        <v>2</v>
      </c>
      <c r="R44" s="10">
        <f>IF(COUNT(C44:P44)&gt;0, MIN(5+(COUNTIF(C44:P44,"&gt;1")/2),10), "absent")</f>
        <v>6</v>
      </c>
    </row>
    <row r="45" spans="2:18">
      <c r="B45" s="3" t="s">
        <v>35</v>
      </c>
      <c r="C45" s="6">
        <v>2</v>
      </c>
      <c r="D45" s="15">
        <v>2</v>
      </c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0">
        <f>COUNT(C45:P45)</f>
        <v>2</v>
      </c>
      <c r="R45" s="10">
        <f>IF(COUNT(C45:P45)&gt;0, MIN(5+(COUNTIF(C45:P45,"&gt;1")/2),10), "absent")</f>
        <v>6</v>
      </c>
    </row>
    <row r="46" spans="2:18">
      <c r="B46" s="3" t="s">
        <v>51</v>
      </c>
      <c r="C46" s="6">
        <v>2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0">
        <f>COUNT(C46:P46)</f>
        <v>1</v>
      </c>
      <c r="R46" s="10">
        <f>IF(COUNT(C46:P46)&gt;0, MIN(5+(COUNTIF(C46:P46,"&gt;1")/2),10), "absent")</f>
        <v>5.5</v>
      </c>
    </row>
    <row r="47" spans="2:18">
      <c r="B47" s="3" t="s">
        <v>44</v>
      </c>
      <c r="C47" s="6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0">
        <f>COUNT(C47:P47)</f>
        <v>0</v>
      </c>
      <c r="R47" s="10" t="str">
        <f>IF(COUNT(C47:P47)&gt;0, MIN(5+(COUNTIF(C47:P47,"&gt;1")/2),10), "absent")</f>
        <v>absent</v>
      </c>
    </row>
    <row r="48" spans="2:18">
      <c r="B48" s="3" t="s">
        <v>79</v>
      </c>
      <c r="C48" s="6"/>
      <c r="D48" s="15">
        <v>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0">
        <f>COUNT(C48:P48)</f>
        <v>1</v>
      </c>
      <c r="R48" s="10">
        <f>IF(COUNT(C48:P48)&gt;0, MIN(5+(COUNTIF(C48:P48,"&gt;1")/2),10), "absent")</f>
        <v>5.5</v>
      </c>
    </row>
    <row r="49" spans="2:18">
      <c r="B49" s="3" t="s">
        <v>40</v>
      </c>
      <c r="C49" s="6">
        <v>2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0">
        <f>COUNT(C49:P49)</f>
        <v>1</v>
      </c>
      <c r="R49" s="10">
        <f>IF(COUNT(C49:P49)&gt;0, MIN(5+(COUNTIF(C49:P49,"&gt;1")/2),10), "absent")</f>
        <v>5.5</v>
      </c>
    </row>
    <row r="50" spans="2:18">
      <c r="B50" s="3" t="s">
        <v>25</v>
      </c>
      <c r="C50" s="6">
        <v>2</v>
      </c>
      <c r="D50" s="15">
        <v>2</v>
      </c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0">
        <f>COUNT(C50:P50)</f>
        <v>2</v>
      </c>
      <c r="R50" s="10">
        <f>IF(COUNT(C50:P50)&gt;0, MIN(5+(COUNTIF(C50:P50,"&gt;1")/2),10), "absent")</f>
        <v>6</v>
      </c>
    </row>
    <row r="51" spans="2:18">
      <c r="B51" s="3" t="s">
        <v>83</v>
      </c>
      <c r="C51" s="6"/>
      <c r="D51" s="15">
        <v>1</v>
      </c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0">
        <f>COUNT(C51:P51)</f>
        <v>1</v>
      </c>
      <c r="R51" s="10">
        <f>IF(COUNT(C51:P51)&gt;0, MIN(5+(COUNTIF(C51:P51,"&gt;1")/2),10), "absent")</f>
        <v>5</v>
      </c>
    </row>
    <row r="52" spans="2:18">
      <c r="B52" s="3" t="s">
        <v>78</v>
      </c>
      <c r="C52" s="6">
        <v>2</v>
      </c>
      <c r="D52" s="15">
        <v>1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0">
        <f>COUNT(C52:P52)</f>
        <v>2</v>
      </c>
      <c r="R52" s="10">
        <f>IF(COUNT(C52:P52)&gt;0, MIN(5+(COUNTIF(C52:P52,"&gt;1")/2),10), "absent")</f>
        <v>5.5</v>
      </c>
    </row>
    <row r="53" spans="2:18">
      <c r="B53" s="3" t="s">
        <v>37</v>
      </c>
      <c r="C53" s="6">
        <v>2</v>
      </c>
      <c r="D53" s="15">
        <v>1</v>
      </c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0">
        <f>COUNT(C53:P53)</f>
        <v>2</v>
      </c>
      <c r="R53" s="10">
        <f>IF(COUNT(C53:P53)&gt;0, MIN(5+(COUNTIF(C53:P53,"&gt;1")/2),10), "absent")</f>
        <v>5.5</v>
      </c>
    </row>
    <row r="54" spans="2:18">
      <c r="B54" s="3" t="s">
        <v>23</v>
      </c>
      <c r="C54" s="6">
        <v>2</v>
      </c>
      <c r="D54" s="15">
        <v>1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0">
        <f>COUNT(C54:P54)</f>
        <v>2</v>
      </c>
      <c r="R54" s="10">
        <f>IF(COUNT(C54:P54)&gt;0, MIN(5+(COUNTIF(C54:P54,"&gt;1")/2),10), "absent")</f>
        <v>5.5</v>
      </c>
    </row>
    <row r="55" spans="2:18">
      <c r="B55" s="3" t="s">
        <v>39</v>
      </c>
      <c r="C55" s="6"/>
      <c r="D55" s="15">
        <v>2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0">
        <f>COUNT(C55:P55)</f>
        <v>1</v>
      </c>
      <c r="R55" s="10">
        <f>IF(COUNT(C55:P55)&gt;0, MIN(5+(COUNTIF(C55:P55,"&gt;1")/2),10), "absent")</f>
        <v>5.5</v>
      </c>
    </row>
    <row r="56" spans="2:18">
      <c r="B56" s="3" t="s">
        <v>73</v>
      </c>
      <c r="C56" s="6">
        <v>2</v>
      </c>
      <c r="D56" s="15">
        <v>1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0">
        <f>COUNT(C56:P56)</f>
        <v>2</v>
      </c>
      <c r="R56" s="10">
        <f>IF(COUNT(C56:P56)&gt;0, MIN(5+(COUNTIF(C56:P56,"&gt;1")/2),10), "absent")</f>
        <v>5.5</v>
      </c>
    </row>
    <row r="57" spans="2:18">
      <c r="B57" s="3" t="s">
        <v>77</v>
      </c>
      <c r="C57" s="6">
        <v>2</v>
      </c>
      <c r="D57" s="15">
        <v>1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0">
        <f>COUNT(C57:P57)</f>
        <v>2</v>
      </c>
      <c r="R57" s="10">
        <f>IF(COUNT(C57:P57)&gt;0, MIN(5+(COUNTIF(C57:P57,"&gt;1")/2),10), "absent")</f>
        <v>5.5</v>
      </c>
    </row>
    <row r="58" spans="2:18">
      <c r="B58" s="3" t="s">
        <v>20</v>
      </c>
      <c r="C58" s="6">
        <v>2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0">
        <f>COUNT(C58:P58)</f>
        <v>1</v>
      </c>
      <c r="R58" s="10">
        <f>IF(COUNT(C58:P58)&gt;0, MIN(5+(COUNTIF(C58:P58,"&gt;1")/2),10), "absent")</f>
        <v>5.5</v>
      </c>
    </row>
    <row r="59" spans="2:18">
      <c r="B59" s="3" t="s">
        <v>66</v>
      </c>
      <c r="C59" s="6"/>
      <c r="D59" s="15">
        <v>2</v>
      </c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0">
        <f>COUNT(C59:P59)</f>
        <v>1</v>
      </c>
      <c r="R59" s="10">
        <f>IF(COUNT(C59:P59)&gt;0, MIN(5+(COUNTIF(C59:P59,"&gt;1")/2),10), "absent")</f>
        <v>5.5</v>
      </c>
    </row>
    <row r="60" spans="2:18">
      <c r="B60" s="3" t="s">
        <v>17</v>
      </c>
      <c r="C60" s="6">
        <v>2</v>
      </c>
      <c r="D60" s="15">
        <v>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0">
        <f>COUNT(C60:P60)</f>
        <v>2</v>
      </c>
      <c r="R60" s="10">
        <f>IF(COUNT(C60:P60)&gt;0, MIN(5+(COUNTIF(C60:P60,"&gt;1")/2),10), "absent")</f>
        <v>6</v>
      </c>
    </row>
    <row r="61" spans="2:18">
      <c r="B61" s="3" t="s">
        <v>80</v>
      </c>
      <c r="C61" s="6"/>
      <c r="D61" s="15">
        <v>2</v>
      </c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0">
        <f>COUNT(C61:P61)</f>
        <v>1</v>
      </c>
      <c r="R61" s="10">
        <f>IF(COUNT(C61:P61)&gt;0, MIN(5+(COUNTIF(C61:P61,"&gt;1")/2),10), "absent")</f>
        <v>5.5</v>
      </c>
    </row>
    <row r="62" spans="2:18">
      <c r="B62" s="3" t="s">
        <v>48</v>
      </c>
      <c r="C62" s="6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0">
        <f>COUNT(C62:P62)</f>
        <v>0</v>
      </c>
      <c r="R62" s="10" t="str">
        <f>IF(COUNT(C62:P62)&gt;0, MIN(5+(COUNTIF(C62:P62,"&gt;1")/2),10), "absent")</f>
        <v>absent</v>
      </c>
    </row>
    <row r="63" spans="2:18">
      <c r="B63" s="3" t="s">
        <v>81</v>
      </c>
      <c r="C63" s="6"/>
      <c r="D63" s="15">
        <v>1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0">
        <f>COUNT(C63:P63)</f>
        <v>1</v>
      </c>
      <c r="R63" s="10">
        <f>IF(COUNT(C63:P63)&gt;0, MIN(5+(COUNTIF(C63:P63,"&gt;1")/2),10), "absent")</f>
        <v>5</v>
      </c>
    </row>
    <row r="64" spans="2:18">
      <c r="B64" s="3" t="s">
        <v>52</v>
      </c>
      <c r="C64" s="6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0">
        <f>COUNT(C64:P64)</f>
        <v>0</v>
      </c>
      <c r="R64" s="10" t="str">
        <f>IF(COUNT(C64:P64)&gt;0, MIN(5+(COUNTIF(C64:P64,"&gt;1")/2),10), "absent")</f>
        <v>absent</v>
      </c>
    </row>
    <row r="65" spans="2:18">
      <c r="B65" s="3" t="s">
        <v>71</v>
      </c>
      <c r="C65" s="6">
        <v>2</v>
      </c>
      <c r="D65" s="15">
        <v>2</v>
      </c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0">
        <f>COUNT(C65:P65)</f>
        <v>2</v>
      </c>
      <c r="R65" s="10">
        <f>IF(COUNT(C65:P65)&gt;0, MIN(5+(COUNTIF(C65:P65,"&gt;1")/2),10), "absent")</f>
        <v>6</v>
      </c>
    </row>
    <row r="66" spans="2:18">
      <c r="B66" s="3" t="s">
        <v>46</v>
      </c>
      <c r="C66" s="6"/>
      <c r="D66" s="15">
        <v>2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0">
        <f>COUNT(C66:P66)</f>
        <v>1</v>
      </c>
      <c r="R66" s="10">
        <f>IF(COUNT(C66:P66)&gt;0, MIN(5+(COUNTIF(C66:P66,"&gt;1")/2),10), "absent")</f>
        <v>5.5</v>
      </c>
    </row>
    <row r="67" spans="2:18">
      <c r="B67" s="3" t="s">
        <v>45</v>
      </c>
      <c r="C67" s="6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0">
        <f>COUNT(C67:P67)</f>
        <v>0</v>
      </c>
      <c r="R67" s="10" t="str">
        <f>IF(COUNT(C67:P67)&gt;0, MIN(5+(COUNTIF(C67:P67,"&gt;1")/2),10), "absent")</f>
        <v>absent</v>
      </c>
    </row>
    <row r="68" spans="2:18">
      <c r="B68" s="3" t="s">
        <v>29</v>
      </c>
      <c r="C68" s="6"/>
      <c r="D68" s="15">
        <v>1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0">
        <f>COUNT(C68:P68)</f>
        <v>1</v>
      </c>
      <c r="R68" s="10">
        <f>IF(COUNT(C68:P68)&gt;0, MIN(5+(COUNTIF(C68:P68,"&gt;1")/2),10), "absent")</f>
        <v>5</v>
      </c>
    </row>
    <row r="69" spans="2:18">
      <c r="B69" s="3" t="s">
        <v>53</v>
      </c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14"/>
      <c r="Q69" s="11">
        <f>COUNT(C69:P69)</f>
        <v>0</v>
      </c>
      <c r="R69" s="11" t="str">
        <f>IF(COUNT(C69:P69)&gt;0, MIN(5+(COUNTIF(C69:P69,"&gt;1")/2),10), "absent")</f>
        <v>absent</v>
      </c>
    </row>
  </sheetData>
  <sortState xmlns:xlrd2="http://schemas.microsoft.com/office/spreadsheetml/2017/richdata2" ref="B3:R69">
    <sortCondition ref="B69"/>
  </sortState>
  <conditionalFormatting sqref="C3:P64">
    <cfRule type="cellIs" dxfId="1" priority="2" operator="greaterThanOrEqual">
      <formula>2</formula>
    </cfRule>
  </conditionalFormatting>
  <conditionalFormatting sqref="C67:P69">
    <cfRule type="cellIs" dxfId="0" priority="1" operator="greaterThanOrEqual">
      <formula>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2026-10-14T17:23:45Z</dcterms:modified>
</cp:coreProperties>
</file>